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tlyn/Desktop/"/>
    </mc:Choice>
  </mc:AlternateContent>
  <xr:revisionPtr revIDLastSave="0" documentId="13_ncr:1_{E587BAAB-9AE5-434E-BA89-73895B0FB08B}" xr6:coauthVersionLast="47" xr6:coauthVersionMax="47" xr10:uidLastSave="{00000000-0000-0000-0000-000000000000}"/>
  <bookViews>
    <workbookView xWindow="440" yWindow="1300" windowWidth="27260" windowHeight="15880" xr2:uid="{1DDC092F-92B7-C84D-B26B-41E7A4E79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L7" i="1"/>
  <c r="N28" i="1"/>
  <c r="L28" i="1"/>
  <c r="N14" i="1"/>
  <c r="L14" i="1"/>
  <c r="L21" i="1"/>
  <c r="N21" i="1"/>
  <c r="L56" i="1"/>
  <c r="L49" i="1"/>
  <c r="L42" i="1"/>
  <c r="L35" i="1"/>
  <c r="N56" i="1"/>
  <c r="N42" i="1"/>
  <c r="N35" i="1"/>
  <c r="N49" i="1"/>
  <c r="J56" i="1"/>
  <c r="I56" i="1"/>
  <c r="H56" i="1"/>
  <c r="F56" i="1"/>
  <c r="E56" i="1"/>
  <c r="D56" i="1"/>
  <c r="J49" i="1"/>
  <c r="I49" i="1"/>
  <c r="H49" i="1"/>
  <c r="F49" i="1"/>
  <c r="E49" i="1"/>
  <c r="D49" i="1"/>
  <c r="J42" i="1"/>
  <c r="I42" i="1"/>
  <c r="H42" i="1"/>
  <c r="F42" i="1"/>
  <c r="E42" i="1"/>
  <c r="D42" i="1"/>
  <c r="J35" i="1"/>
  <c r="I35" i="1"/>
  <c r="H35" i="1"/>
  <c r="F35" i="1"/>
  <c r="E35" i="1"/>
  <c r="D35" i="1"/>
  <c r="J28" i="1"/>
  <c r="I28" i="1"/>
  <c r="H28" i="1"/>
  <c r="F28" i="1"/>
  <c r="E28" i="1"/>
  <c r="D28" i="1"/>
  <c r="J21" i="1"/>
  <c r="I21" i="1"/>
  <c r="H21" i="1"/>
  <c r="F21" i="1"/>
  <c r="E21" i="1"/>
  <c r="D21" i="1"/>
  <c r="J14" i="1"/>
  <c r="I14" i="1"/>
  <c r="H14" i="1"/>
  <c r="F14" i="1"/>
  <c r="E14" i="1"/>
  <c r="D14" i="1"/>
  <c r="J7" i="1"/>
  <c r="I7" i="1"/>
  <c r="H7" i="1"/>
  <c r="F7" i="1"/>
  <c r="E7" i="1"/>
  <c r="D7" i="1"/>
</calcChain>
</file>

<file path=xl/sharedStrings.xml><?xml version="1.0" encoding="utf-8"?>
<sst xmlns="http://schemas.openxmlformats.org/spreadsheetml/2006/main" count="112" uniqueCount="39">
  <si>
    <t>Phase 1</t>
  </si>
  <si>
    <t>A</t>
  </si>
  <si>
    <t>K</t>
  </si>
  <si>
    <t>C</t>
  </si>
  <si>
    <t>Phase 2</t>
  </si>
  <si>
    <t>t3</t>
  </si>
  <si>
    <t>t2</t>
  </si>
  <si>
    <t>2025_GRANITE_COUNT_1_RUN_2.xlsx</t>
  </si>
  <si>
    <t>2025_GRANITE_COUNT_1_RUN_3.xlsx</t>
  </si>
  <si>
    <t>2025_GRANITE_COUNT_1_RUN_1.xlsx</t>
  </si>
  <si>
    <t>2025_GRANITE_COUNT_2_RUN_1.xlsx</t>
  </si>
  <si>
    <t>2025_GRANITE_COUNT_2_RUN_2.xlsx</t>
  </si>
  <si>
    <t>2025_GRANITE_COUNT_2_RUN_3.xlsx</t>
  </si>
  <si>
    <t>Control (2 L/min)</t>
  </si>
  <si>
    <t>Rug - 1 Square (3 L/min)</t>
  </si>
  <si>
    <t>Rug - 2 Squares (3 L/min)</t>
  </si>
  <si>
    <t>Tile - 2 pieces (2 L/min)</t>
  </si>
  <si>
    <t>Tile - 1 piece (2 L/min)</t>
  </si>
  <si>
    <t>Rug - 3 Squares (2 L/min)</t>
  </si>
  <si>
    <t>Rug - 2 Squares (2 L/min)</t>
  </si>
  <si>
    <t>Rug - 1 Square (2 L/min)</t>
  </si>
  <si>
    <t>REDO_2025_TRENDY_COUNT_1_FLOW_3_RUN_2.xls.xlsx</t>
  </si>
  <si>
    <t>REDO_2025_TRENDY_COUNT_1_FLOW_3_RUN_1.xlsx</t>
  </si>
  <si>
    <t>REDO_2025_TRENDY_COUNT_1_FLOW_3_RUN_3.xls.xlsx</t>
  </si>
  <si>
    <t>2025_TRENDY_COUNT_2_FLOW_3_RUN_3.xlsx</t>
  </si>
  <si>
    <t>2025_TRENDY_COUNT_2_FLOW_3_RUN_1.xlsx</t>
  </si>
  <si>
    <t>2025_TRENDY_COUNT_2_FLOW_3_RUN_2.xlsx</t>
  </si>
  <si>
    <t>2025_TRENDY_COUNT_2_RUN_4.xlsx</t>
  </si>
  <si>
    <t>2025_TRENDY_COUNT_2_RUN_3.xlsx</t>
  </si>
  <si>
    <t>2025_TRENDY_COUNT_2_RUN_2.xlsx</t>
  </si>
  <si>
    <t>2025_TRENDY_COUNT_3_RUN_1.xlsx</t>
  </si>
  <si>
    <t>2025_TRENDY_COUNT_3_RUN_2.xlsx</t>
  </si>
  <si>
    <t>2025_TRENDY_COUNT_3_RUN_3.xlsx</t>
  </si>
  <si>
    <t>2025_TRENDY_COUNT_1_RUN_1.xlsx</t>
  </si>
  <si>
    <t>2025_TRENDY_COUNT_1_RUN_2.xlsx</t>
  </si>
  <si>
    <t>2025_TRENDY_COUNT_1_RUN_3.xlsx</t>
  </si>
  <si>
    <t>2025_CONTROL_RUN_2.xlsx</t>
  </si>
  <si>
    <t>2025_CONTROL_RUN_6.xlsx</t>
  </si>
  <si>
    <t>2025_CONTROL_RUN_3.xlsx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</si>
</sst>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FF0000"/>
      <name val="Courier New"/>
      <family val="1"/>
    </font>
    <font>
      <sz val="14"/>
      <color rgb="FFE3E3E3"/>
      <name val="Courier New"/>
      <family val="1"/>
    </font>
    <font>
      <sz val="14"/>
      <color theme="1"/>
      <name val="Courier New"/>
      <family val="1"/>
    </font>
    <font>
      <sz val="14"/>
      <color rgb="FFCE9178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11" fontId="0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8E4B-5C5D-6749-9909-1F24E5D89917}">
  <dimension ref="A1:S61"/>
  <sheetViews>
    <sheetView tabSelected="1" topLeftCell="A20" zoomScale="72" zoomScaleNormal="100" workbookViewId="0">
      <selection activeCell="S13" sqref="S13"/>
    </sheetView>
  </sheetViews>
  <sheetFormatPr baseColWidth="10" defaultRowHeight="16" x14ac:dyDescent="0.2"/>
  <cols>
    <col min="2" max="2" width="29.33203125" customWidth="1"/>
    <col min="3" max="3" width="73.1640625" customWidth="1"/>
    <col min="4" max="4" width="20.83203125" customWidth="1"/>
    <col min="5" max="5" width="21.33203125" customWidth="1"/>
    <col min="6" max="6" width="18.83203125" customWidth="1"/>
    <col min="8" max="8" width="19.5" customWidth="1"/>
    <col min="9" max="9" width="19" customWidth="1"/>
    <col min="10" max="10" width="21" customWidth="1"/>
  </cols>
  <sheetData>
    <row r="1" spans="1:19" x14ac:dyDescent="0.2">
      <c r="A1" s="1"/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19" x14ac:dyDescent="0.2">
      <c r="A2" s="1"/>
      <c r="B2" s="1" t="s">
        <v>13</v>
      </c>
      <c r="C2" s="1"/>
      <c r="D2" s="6" t="s">
        <v>0</v>
      </c>
      <c r="E2" s="6"/>
      <c r="F2" s="6"/>
      <c r="G2" s="6"/>
      <c r="H2" s="6" t="s">
        <v>4</v>
      </c>
      <c r="I2" s="6"/>
      <c r="J2" s="6"/>
      <c r="K2" s="6"/>
      <c r="L2" s="6"/>
      <c r="M2" s="6"/>
      <c r="N2" s="6"/>
      <c r="O2" s="6"/>
      <c r="P2" s="6"/>
      <c r="Q2" s="6"/>
      <c r="R2" s="6"/>
      <c r="S2" s="5"/>
    </row>
    <row r="3" spans="1:19" x14ac:dyDescent="0.2">
      <c r="A3" s="1"/>
      <c r="B3" s="1"/>
      <c r="C3" s="1"/>
      <c r="D3" s="6" t="s">
        <v>1</v>
      </c>
      <c r="E3" s="6" t="s">
        <v>2</v>
      </c>
      <c r="F3" s="6" t="s">
        <v>3</v>
      </c>
      <c r="G3" s="6"/>
      <c r="H3" s="6" t="s">
        <v>1</v>
      </c>
      <c r="I3" s="6" t="s">
        <v>2</v>
      </c>
      <c r="J3" s="6" t="s">
        <v>3</v>
      </c>
      <c r="K3" s="6"/>
      <c r="L3" s="6" t="s">
        <v>6</v>
      </c>
      <c r="M3" s="6"/>
      <c r="N3" s="6" t="s">
        <v>5</v>
      </c>
      <c r="O3" s="6"/>
      <c r="P3" s="6"/>
      <c r="Q3" s="6"/>
      <c r="R3" s="6"/>
      <c r="S3" s="5"/>
    </row>
    <row r="4" spans="1:19" ht="19" x14ac:dyDescent="0.25">
      <c r="A4" s="1"/>
      <c r="B4" s="1"/>
      <c r="C4" s="7" t="s">
        <v>36</v>
      </c>
      <c r="D4" s="6">
        <v>0.29849999999999999</v>
      </c>
      <c r="E4" s="6">
        <v>6.7429999999999999E-3</v>
      </c>
      <c r="F4" s="6">
        <v>0.68830000000000002</v>
      </c>
      <c r="G4" s="6"/>
      <c r="H4" s="6">
        <v>3.0503999999999998</v>
      </c>
      <c r="I4" s="6">
        <v>4.5209999999999998E-3</v>
      </c>
      <c r="J4" s="6">
        <v>0</v>
      </c>
      <c r="K4" s="6"/>
      <c r="L4" s="3">
        <v>354</v>
      </c>
      <c r="M4" s="4"/>
      <c r="N4" s="3">
        <v>1623</v>
      </c>
      <c r="O4" s="6"/>
      <c r="P4" s="6"/>
      <c r="Q4" s="6"/>
      <c r="R4" s="6"/>
      <c r="S4" s="5"/>
    </row>
    <row r="5" spans="1:19" ht="19" x14ac:dyDescent="0.25">
      <c r="A5" s="1"/>
      <c r="B5" s="1"/>
      <c r="C5" s="7" t="s">
        <v>38</v>
      </c>
      <c r="D5" s="6">
        <v>0.37790000000000001</v>
      </c>
      <c r="E5" s="6">
        <v>1.0204E-2</v>
      </c>
      <c r="F5" s="6">
        <v>0.60729999999999995</v>
      </c>
      <c r="G5" s="6"/>
      <c r="H5" s="6">
        <v>3.2315999999999998</v>
      </c>
      <c r="I5" s="6">
        <v>4.6249999999999998E-3</v>
      </c>
      <c r="J5" s="6">
        <v>0</v>
      </c>
      <c r="K5" s="6"/>
      <c r="L5" s="3">
        <v>386</v>
      </c>
      <c r="M5" s="4"/>
      <c r="N5" s="3">
        <v>1629</v>
      </c>
      <c r="O5" s="6"/>
      <c r="P5" s="6"/>
      <c r="Q5" s="6"/>
      <c r="R5" s="6"/>
      <c r="S5" s="5"/>
    </row>
    <row r="6" spans="1:19" ht="19" x14ac:dyDescent="0.25">
      <c r="A6" s="1"/>
      <c r="B6" s="1"/>
      <c r="C6" s="7" t="s">
        <v>37</v>
      </c>
      <c r="D6" s="6">
        <v>0.37590000000000001</v>
      </c>
      <c r="E6" s="6">
        <v>5.7879999999999997E-3</v>
      </c>
      <c r="F6" s="6">
        <v>0.62109999999999999</v>
      </c>
      <c r="G6" s="6"/>
      <c r="H6" s="6">
        <v>2.5746000000000002</v>
      </c>
      <c r="I6" s="6">
        <v>4.4920000000000003E-3</v>
      </c>
      <c r="J6" s="6">
        <v>0</v>
      </c>
      <c r="K6" s="6"/>
      <c r="L6" s="3">
        <v>330</v>
      </c>
      <c r="M6" s="4"/>
      <c r="N6" s="3">
        <v>1585</v>
      </c>
      <c r="O6" s="6"/>
      <c r="P6" s="6"/>
      <c r="Q6" s="6"/>
      <c r="R6" s="6"/>
      <c r="S6" s="5"/>
    </row>
    <row r="7" spans="1:19" x14ac:dyDescent="0.2">
      <c r="A7" s="1"/>
      <c r="B7" s="1"/>
      <c r="C7" s="1"/>
      <c r="D7" s="6" t="str">
        <f>TEXT(AVERAGE(D4:D6),"0.00E+00") &amp; " ± " &amp; TEXT(_xlfn.STDEV.S(D4:D6),"0.00E+00")</f>
        <v>3.51E-01 ± 4.53E-02</v>
      </c>
      <c r="E7" s="6" t="str">
        <f>TEXT(AVERAGE(E4:E6),"0.00E+00") &amp; " ± " &amp; TEXT(_xlfn.STDEV.S(E4:E6),"0.00E+00")</f>
        <v>7.58E-03 ± 2.32E-03</v>
      </c>
      <c r="F7" s="6" t="str">
        <f>TEXT(AVERAGE(F4:F6),"0.00E+00") &amp; " ± " &amp; TEXT(_xlfn.STDEV.S(F4:F6),"0.00E+00")</f>
        <v>6.39E-01 ± 4.33E-02</v>
      </c>
      <c r="G7" s="6"/>
      <c r="H7" s="6" t="str">
        <f>TEXT(AVERAGE(H4:H6),"0.00E+00") &amp; " ± " &amp; TEXT(_xlfn.STDEV.S(H4:H6),"0.00E+00")</f>
        <v>2.95E+00 ± 3.39E-01</v>
      </c>
      <c r="I7" s="6" t="str">
        <f>TEXT(AVERAGE(I4:I6),"0.00E+00") &amp; " ± " &amp; TEXT(_xlfn.STDEV.S(I4:I6),"0.00E+00")</f>
        <v>4.55E-03 ± 6.99E-05</v>
      </c>
      <c r="J7" s="6" t="str">
        <f>TEXT(AVERAGE(J4:J6),"0.00E+00") &amp; " ± " &amp; TEXT(_xlfn.STDEV.S(J4:J6),"0.00E+00")</f>
        <v>0.00E+00 ± 0.00E+00</v>
      </c>
      <c r="K7" s="6"/>
      <c r="L7" s="6" t="str">
        <f>TEXT(AVERAGE(L4:L6),"0.00E+00") &amp; " ± " &amp; TEXT(_xlfn.STDEV.S(L4:L6),"0.00E+00")</f>
        <v>3.57E+02 ± 2.81E+01</v>
      </c>
      <c r="M7" s="5"/>
      <c r="N7" s="6" t="str">
        <f>TEXT(AVERAGE(N4:N6),"0.00E+00") &amp; " ± " &amp; TEXT(_xlfn.STDEV.S(N4:N6),"0.00E+00")</f>
        <v>1.61E+03 ± 2.39E+01</v>
      </c>
      <c r="O7" s="6"/>
      <c r="P7" s="6"/>
      <c r="Q7" s="6"/>
      <c r="R7" s="6"/>
      <c r="S7" s="5"/>
    </row>
    <row r="8" spans="1:19" ht="19" x14ac:dyDescent="0.25">
      <c r="A8" s="1"/>
      <c r="B8" s="1"/>
      <c r="C8" s="1"/>
      <c r="D8" s="6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</row>
    <row r="9" spans="1:19" x14ac:dyDescent="0.2">
      <c r="A9" s="1"/>
      <c r="B9" s="1" t="s">
        <v>20</v>
      </c>
      <c r="C9" s="1"/>
      <c r="D9" s="6" t="s">
        <v>0</v>
      </c>
      <c r="E9" s="6"/>
      <c r="F9" s="6"/>
      <c r="G9" s="6"/>
      <c r="H9" s="6" t="s">
        <v>4</v>
      </c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19" x14ac:dyDescent="0.2">
      <c r="A10" s="1"/>
      <c r="B10" s="1"/>
      <c r="C10" s="1"/>
      <c r="D10" s="6" t="s">
        <v>1</v>
      </c>
      <c r="E10" s="6" t="s">
        <v>2</v>
      </c>
      <c r="F10" s="6" t="s">
        <v>3</v>
      </c>
      <c r="G10" s="6"/>
      <c r="H10" s="6" t="s">
        <v>1</v>
      </c>
      <c r="I10" s="6" t="s">
        <v>2</v>
      </c>
      <c r="J10" s="6" t="s">
        <v>3</v>
      </c>
      <c r="K10" s="6"/>
      <c r="L10" s="6" t="s">
        <v>6</v>
      </c>
      <c r="M10" s="6"/>
      <c r="N10" s="6" t="s">
        <v>5</v>
      </c>
      <c r="O10" s="6"/>
      <c r="P10" s="6"/>
      <c r="Q10" s="6"/>
      <c r="R10" s="6"/>
      <c r="S10" s="5"/>
    </row>
    <row r="11" spans="1:19" ht="19" x14ac:dyDescent="0.25">
      <c r="A11" s="1"/>
      <c r="B11" s="1"/>
      <c r="C11" s="7" t="s">
        <v>33</v>
      </c>
      <c r="D11" s="6">
        <v>0.26529999999999998</v>
      </c>
      <c r="E11" s="6">
        <v>4.921E-3</v>
      </c>
      <c r="F11" s="6">
        <v>0.72270000000000001</v>
      </c>
      <c r="G11" s="6"/>
      <c r="H11" s="6">
        <v>3.1995</v>
      </c>
      <c r="I11" s="6">
        <v>4.7609999999999996E-3</v>
      </c>
      <c r="J11" s="6">
        <v>0</v>
      </c>
      <c r="K11" s="6"/>
      <c r="L11" s="4">
        <v>331</v>
      </c>
      <c r="M11" s="4"/>
      <c r="N11" s="4">
        <v>1521</v>
      </c>
      <c r="O11" s="6"/>
      <c r="P11" s="6"/>
      <c r="Q11" s="6"/>
      <c r="R11" s="6"/>
      <c r="S11" s="5"/>
    </row>
    <row r="12" spans="1:19" ht="19" x14ac:dyDescent="0.25">
      <c r="A12" s="1"/>
      <c r="B12" s="1"/>
      <c r="C12" s="7" t="s">
        <v>34</v>
      </c>
      <c r="D12" s="6">
        <v>0.37269999999999998</v>
      </c>
      <c r="E12" s="6">
        <v>9.051E-3</v>
      </c>
      <c r="F12" s="6">
        <v>0.62419999999999998</v>
      </c>
      <c r="G12" s="6"/>
      <c r="H12" s="6">
        <v>3.2925</v>
      </c>
      <c r="I12" s="6">
        <v>4.5100000000000001E-3</v>
      </c>
      <c r="J12" s="6">
        <v>0</v>
      </c>
      <c r="K12" s="6"/>
      <c r="L12" s="4">
        <v>392</v>
      </c>
      <c r="M12" s="4"/>
      <c r="N12" s="4">
        <v>1648</v>
      </c>
      <c r="O12" s="6"/>
      <c r="P12" s="6"/>
      <c r="Q12" s="6"/>
      <c r="R12" s="6"/>
      <c r="S12" s="5"/>
    </row>
    <row r="13" spans="1:19" ht="19" x14ac:dyDescent="0.25">
      <c r="A13" s="1"/>
      <c r="B13" s="1"/>
      <c r="C13" s="7" t="s">
        <v>35</v>
      </c>
      <c r="D13" s="6">
        <v>0.32669999999999999</v>
      </c>
      <c r="E13" s="6">
        <v>6.5449999999999996E-3</v>
      </c>
      <c r="F13" s="6">
        <v>0.66879999999999995</v>
      </c>
      <c r="G13" s="6"/>
      <c r="H13" s="6">
        <v>2.8816000000000002</v>
      </c>
      <c r="I13" s="6">
        <v>4.5059999999999996E-3</v>
      </c>
      <c r="J13" s="6">
        <v>0</v>
      </c>
      <c r="K13" s="6"/>
      <c r="L13" s="4">
        <v>344</v>
      </c>
      <c r="M13" s="4"/>
      <c r="N13" s="4">
        <v>1583</v>
      </c>
      <c r="O13" s="6"/>
      <c r="P13" s="6"/>
      <c r="Q13" s="6"/>
      <c r="R13" s="6"/>
      <c r="S13" s="5"/>
    </row>
    <row r="14" spans="1:19" x14ac:dyDescent="0.2">
      <c r="A14" s="1"/>
      <c r="B14" s="1"/>
      <c r="C14" s="1"/>
      <c r="D14" s="6" t="str">
        <f>TEXT(AVERAGE(D11:D13),"0.00E+00") &amp; " ± " &amp; TEXT(_xlfn.STDEV.S(D11:D13),"0.00E+00")</f>
        <v>3.22E-01 ± 5.39E-02</v>
      </c>
      <c r="E14" s="6" t="str">
        <f>TEXT(AVERAGE(E11:E13),"0.00E+00") &amp; " ± " &amp; TEXT(_xlfn.STDEV.S(E11:E13),"0.00E+00")</f>
        <v>6.84E-03 ± 2.08E-03</v>
      </c>
      <c r="F14" s="6" t="str">
        <f>TEXT(AVERAGE(F11:F13),"0.00E+00") &amp; " ± " &amp; TEXT(_xlfn.STDEV.S(F11:F13),"0.00E+00")</f>
        <v>6.72E-01 ± 4.93E-02</v>
      </c>
      <c r="G14" s="6"/>
      <c r="H14" s="6" t="str">
        <f>TEXT(AVERAGE(H11:H13),"0.00E+00") &amp; " ± " &amp; TEXT(_xlfn.STDEV.S(H11:H13),"0.00E+00")</f>
        <v>3.12E+00 ± 2.15E-01</v>
      </c>
      <c r="I14" s="6" t="str">
        <f>TEXT(AVERAGE(I11:I13),"0.00E+00") &amp; " ± " &amp; TEXT(_xlfn.STDEV.S(I11:I13),"0.00E+00")</f>
        <v>4.59E-03 ± 1.46E-04</v>
      </c>
      <c r="J14" s="6" t="str">
        <f>TEXT(AVERAGE(J11:J13),"0.00E+00") &amp; " ± " &amp; TEXT(_xlfn.STDEV.S(J11:J13),"0.00E+00")</f>
        <v>0.00E+00 ± 0.00E+00</v>
      </c>
      <c r="K14" s="6"/>
      <c r="L14" s="6" t="str">
        <f>TEXT(AVERAGE(L11:L13),"0.00E+00") &amp; " ± " &amp; TEXT(_xlfn.STDEV.S(L11:L13),"0.00E+00")</f>
        <v>3.56E+02 ± 3.21E+01</v>
      </c>
      <c r="M14" s="5"/>
      <c r="N14" s="6" t="str">
        <f>TEXT(AVERAGE(N11:N13),"0.00E+00") &amp; " ± " &amp; TEXT(_xlfn.STDEV.S(N11:N13),"0.00E+00")</f>
        <v>1.58E+03 ± 6.35E+01</v>
      </c>
      <c r="O14" s="6"/>
      <c r="P14" s="6"/>
      <c r="Q14" s="6"/>
      <c r="R14" s="6"/>
      <c r="S14" s="5"/>
    </row>
    <row r="15" spans="1:19" ht="19" x14ac:dyDescent="0.25">
      <c r="A15" s="1"/>
      <c r="B15" s="1"/>
      <c r="C15" s="1"/>
      <c r="D15" s="4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</row>
    <row r="16" spans="1:19" x14ac:dyDescent="0.2">
      <c r="A16" s="1"/>
      <c r="B16" s="1" t="s">
        <v>19</v>
      </c>
      <c r="C16" s="1"/>
      <c r="D16" s="6" t="s">
        <v>0</v>
      </c>
      <c r="E16" s="6"/>
      <c r="F16" s="6"/>
      <c r="G16" s="6"/>
      <c r="H16" s="6" t="s">
        <v>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5"/>
    </row>
    <row r="17" spans="1:19" x14ac:dyDescent="0.2">
      <c r="A17" s="1"/>
      <c r="B17" s="1"/>
      <c r="C17" s="1"/>
      <c r="D17" s="6" t="s">
        <v>1</v>
      </c>
      <c r="E17" s="6" t="s">
        <v>2</v>
      </c>
      <c r="F17" s="6" t="s">
        <v>3</v>
      </c>
      <c r="G17" s="6"/>
      <c r="H17" s="6" t="s">
        <v>1</v>
      </c>
      <c r="I17" s="6" t="s">
        <v>2</v>
      </c>
      <c r="J17" s="6" t="s">
        <v>3</v>
      </c>
      <c r="K17" s="6"/>
      <c r="L17" s="6" t="s">
        <v>6</v>
      </c>
      <c r="M17" s="6"/>
      <c r="N17" s="6" t="s">
        <v>5</v>
      </c>
      <c r="O17" s="6"/>
      <c r="P17" s="6"/>
      <c r="Q17" s="6"/>
      <c r="R17" s="6"/>
      <c r="S17" s="5"/>
    </row>
    <row r="18" spans="1:19" ht="19" x14ac:dyDescent="0.25">
      <c r="A18" s="1"/>
      <c r="B18" s="1"/>
      <c r="C18" s="7" t="s">
        <v>29</v>
      </c>
      <c r="D18" s="6">
        <v>0.3548</v>
      </c>
      <c r="E18" s="6">
        <v>1.0423E-2</v>
      </c>
      <c r="F18" s="6">
        <v>0.64080000000000004</v>
      </c>
      <c r="G18" s="6"/>
      <c r="H18" s="6">
        <v>3.2768000000000002</v>
      </c>
      <c r="I18" s="6">
        <v>4.0000000000000001E-3</v>
      </c>
      <c r="J18" s="6">
        <v>0</v>
      </c>
      <c r="K18" s="6"/>
      <c r="L18" s="4">
        <v>370</v>
      </c>
      <c r="M18" s="4"/>
      <c r="N18" s="4">
        <v>1569</v>
      </c>
      <c r="O18" s="6"/>
      <c r="P18" s="6"/>
      <c r="Q18" s="6"/>
      <c r="R18" s="6"/>
      <c r="S18" s="5"/>
    </row>
    <row r="19" spans="1:19" ht="19" x14ac:dyDescent="0.25">
      <c r="A19" s="1"/>
      <c r="B19" s="1"/>
      <c r="C19" s="7" t="s">
        <v>28</v>
      </c>
      <c r="D19" s="6">
        <v>0.43290000000000001</v>
      </c>
      <c r="E19" s="6">
        <v>1.0026999999999999E-2</v>
      </c>
      <c r="F19" s="6">
        <v>0.57240000000000002</v>
      </c>
      <c r="G19" s="6"/>
      <c r="H19" s="6">
        <v>3.4352</v>
      </c>
      <c r="I19" s="6">
        <v>4.731E-3</v>
      </c>
      <c r="J19" s="6">
        <v>0</v>
      </c>
      <c r="K19" s="6"/>
      <c r="L19" s="4">
        <v>401</v>
      </c>
      <c r="M19" s="4"/>
      <c r="N19" s="4">
        <v>1614</v>
      </c>
      <c r="O19" s="6"/>
      <c r="P19" s="6"/>
      <c r="Q19" s="6"/>
      <c r="R19" s="6"/>
      <c r="S19" s="5"/>
    </row>
    <row r="20" spans="1:19" ht="19" x14ac:dyDescent="0.25">
      <c r="A20" s="1"/>
      <c r="B20" s="1"/>
      <c r="C20" s="7" t="s">
        <v>27</v>
      </c>
      <c r="D20" s="6">
        <v>0.4244</v>
      </c>
      <c r="E20" s="6">
        <v>1.0126E-2</v>
      </c>
      <c r="F20" s="6">
        <v>0.55869999999999997</v>
      </c>
      <c r="G20" s="6"/>
      <c r="H20" s="6">
        <v>3.2858999999999998</v>
      </c>
      <c r="I20" s="6">
        <v>4.6800000000000001E-3</v>
      </c>
      <c r="J20" s="6">
        <v>0</v>
      </c>
      <c r="K20" s="6"/>
      <c r="L20" s="4">
        <v>400</v>
      </c>
      <c r="M20" s="4"/>
      <c r="N20" s="4">
        <v>1596</v>
      </c>
      <c r="O20" s="6"/>
      <c r="P20" s="6"/>
      <c r="Q20" s="6"/>
      <c r="R20" s="6"/>
      <c r="S20" s="5"/>
    </row>
    <row r="21" spans="1:19" x14ac:dyDescent="0.2">
      <c r="A21" s="1"/>
      <c r="B21" s="1"/>
      <c r="C21" s="1"/>
      <c r="D21" s="6" t="str">
        <f>TEXT(AVERAGE(D18:D20),"0.00E+00") &amp; " ± " &amp; TEXT(_xlfn.STDEV.S(D18:D20),"0.00E+00")</f>
        <v>4.04E-01 ± 4.28E-02</v>
      </c>
      <c r="E21" s="6" t="str">
        <f>TEXT(AVERAGE(E18:E20),"0.00E+00") &amp; " ± " &amp; TEXT(_xlfn.STDEV.S(E18:E20),"0.00E+00")</f>
        <v>1.02E-02 ± 2.06E-04</v>
      </c>
      <c r="F21" s="6" t="str">
        <f>TEXT(AVERAGE(F18:F20),"0.00E+00") &amp; " ± " &amp; TEXT(_xlfn.STDEV.S(F18:F20),"0.00E+00")</f>
        <v>5.91E-01 ± 4.40E-02</v>
      </c>
      <c r="G21" s="6"/>
      <c r="H21" s="6" t="str">
        <f>TEXT(AVERAGE(H18:H20),"0.00E+00") &amp; " ± " &amp; TEXT(_xlfn.STDEV.S(H18:H20),"0.00E+00")</f>
        <v>3.33E+00 ± 8.89E-02</v>
      </c>
      <c r="I21" s="6" t="str">
        <f>TEXT(AVERAGE(I18:I20),"0.00E+00") &amp; " ± " &amp; TEXT(_xlfn.STDEV.S(I18:I20),"0.00E+00")</f>
        <v>4.47E-03 ± 4.08E-04</v>
      </c>
      <c r="J21" s="6" t="str">
        <f>TEXT(AVERAGE(J18:J20),"0.00E+00") &amp; " ± " &amp; TEXT(_xlfn.STDEV.S(J18:J20),"0.00E+00")</f>
        <v>0.00E+00 ± 0.00E+00</v>
      </c>
      <c r="K21" s="6"/>
      <c r="L21" s="6" t="str">
        <f>TEXT(AVERAGE(L18:L20),"0.00E+00") &amp; " ± " &amp; TEXT(_xlfn.STDEV.S(L18:L20),"0.00E+00")</f>
        <v>3.90E+02 ± 1.76E+01</v>
      </c>
      <c r="M21" s="5"/>
      <c r="N21" s="6" t="str">
        <f>TEXT(AVERAGE(N18:N20),"0.00E+00") &amp; " ± " &amp; TEXT(_xlfn.STDEV.S(N18:N20),"0.00E+00")</f>
        <v>1.59E+03 ± 2.26E+01</v>
      </c>
      <c r="O21" s="6"/>
      <c r="P21" s="6"/>
      <c r="Q21" s="6"/>
      <c r="R21" s="6"/>
      <c r="S21" s="5"/>
    </row>
    <row r="22" spans="1:19" ht="19" x14ac:dyDescent="0.25">
      <c r="A22" s="1"/>
      <c r="B22" s="1"/>
      <c r="C22" s="1"/>
      <c r="D22" s="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/>
    </row>
    <row r="23" spans="1:19" x14ac:dyDescent="0.2">
      <c r="A23" s="1"/>
      <c r="B23" s="1" t="s">
        <v>18</v>
      </c>
      <c r="C23" s="1"/>
      <c r="D23" s="6" t="s">
        <v>0</v>
      </c>
      <c r="E23" s="6"/>
      <c r="F23" s="6"/>
      <c r="G23" s="6"/>
      <c r="H23" s="6" t="s">
        <v>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5"/>
    </row>
    <row r="24" spans="1:19" x14ac:dyDescent="0.2">
      <c r="A24" s="1"/>
      <c r="B24" s="1"/>
      <c r="C24" s="1"/>
      <c r="D24" s="6" t="s">
        <v>1</v>
      </c>
      <c r="E24" s="6" t="s">
        <v>2</v>
      </c>
      <c r="F24" s="6" t="s">
        <v>3</v>
      </c>
      <c r="G24" s="6"/>
      <c r="H24" s="6" t="s">
        <v>1</v>
      </c>
      <c r="I24" s="6" t="s">
        <v>2</v>
      </c>
      <c r="J24" s="6" t="s">
        <v>3</v>
      </c>
      <c r="K24" s="6"/>
      <c r="L24" s="6" t="s">
        <v>6</v>
      </c>
      <c r="M24" s="6"/>
      <c r="N24" s="6" t="s">
        <v>5</v>
      </c>
      <c r="O24" s="6"/>
      <c r="P24" s="6"/>
      <c r="Q24" s="6"/>
      <c r="R24" s="6"/>
      <c r="S24" s="5"/>
    </row>
    <row r="25" spans="1:19" ht="19" x14ac:dyDescent="0.25">
      <c r="A25" s="1"/>
      <c r="B25" s="1"/>
      <c r="C25" s="7" t="s">
        <v>30</v>
      </c>
      <c r="D25" s="6">
        <v>0.54120000000000001</v>
      </c>
      <c r="E25" s="6">
        <v>1.1797999999999999E-2</v>
      </c>
      <c r="F25" s="6">
        <v>0.43280000000000002</v>
      </c>
      <c r="G25" s="6"/>
      <c r="H25" s="6">
        <v>3.0333000000000001</v>
      </c>
      <c r="I25" s="6">
        <v>4.7990000000000003E-3</v>
      </c>
      <c r="J25" s="6">
        <v>0</v>
      </c>
      <c r="K25" s="6"/>
      <c r="L25" s="4">
        <v>429</v>
      </c>
      <c r="M25" s="4"/>
      <c r="N25" s="4">
        <v>1597</v>
      </c>
      <c r="O25" s="6"/>
      <c r="P25" s="6"/>
      <c r="Q25" s="6"/>
      <c r="R25" s="6"/>
      <c r="S25" s="5"/>
    </row>
    <row r="26" spans="1:19" ht="19" x14ac:dyDescent="0.25">
      <c r="A26" s="1"/>
      <c r="B26" s="1"/>
      <c r="C26" s="7" t="s">
        <v>31</v>
      </c>
      <c r="D26" s="6">
        <v>0.35199999999999998</v>
      </c>
      <c r="E26" s="6">
        <v>9.4629999999999992E-3</v>
      </c>
      <c r="F26" s="6">
        <v>0.63500000000000001</v>
      </c>
      <c r="G26" s="6"/>
      <c r="H26" s="6">
        <v>3.0482</v>
      </c>
      <c r="I26" s="6">
        <v>4.8799999999999998E-3</v>
      </c>
      <c r="J26" s="6">
        <v>0</v>
      </c>
      <c r="K26" s="6"/>
      <c r="L26" s="4">
        <v>347</v>
      </c>
      <c r="M26" s="4"/>
      <c r="N26" s="4">
        <v>1514</v>
      </c>
      <c r="O26" s="6"/>
      <c r="P26" s="6"/>
      <c r="Q26" s="6"/>
      <c r="R26" s="6"/>
      <c r="S26" s="5"/>
    </row>
    <row r="27" spans="1:19" ht="19" x14ac:dyDescent="0.25">
      <c r="A27" s="1"/>
      <c r="B27" s="1"/>
      <c r="C27" s="7" t="s">
        <v>32</v>
      </c>
      <c r="D27" s="6">
        <v>0.52039999999999997</v>
      </c>
      <c r="E27" s="6">
        <v>1.1313E-2</v>
      </c>
      <c r="F27" s="6">
        <v>0.4627</v>
      </c>
      <c r="G27" s="6"/>
      <c r="H27" s="6">
        <v>3.1770999999999998</v>
      </c>
      <c r="I27" s="6">
        <v>4.9059999999999998E-3</v>
      </c>
      <c r="J27" s="6">
        <v>0</v>
      </c>
      <c r="K27" s="6"/>
      <c r="L27" s="4">
        <v>416</v>
      </c>
      <c r="M27" s="4"/>
      <c r="N27" s="4">
        <v>1566</v>
      </c>
      <c r="O27" s="6"/>
      <c r="P27" s="6"/>
      <c r="Q27" s="6"/>
      <c r="R27" s="6"/>
      <c r="S27" s="5"/>
    </row>
    <row r="28" spans="1:19" x14ac:dyDescent="0.2">
      <c r="A28" s="1"/>
      <c r="B28" s="1"/>
      <c r="C28" s="1"/>
      <c r="D28" s="6" t="str">
        <f>TEXT(AVERAGE(D25:D27),"0.00E+00") &amp; " ± " &amp; TEXT(_xlfn.STDEV.S(D25:D27),"0.00E+00")</f>
        <v>4.71E-01 ± 1.04E-01</v>
      </c>
      <c r="E28" s="6" t="str">
        <f>TEXT(AVERAGE(E25:E27),"0.00E+00") &amp; " ± " &amp; TEXT(_xlfn.STDEV.S(E25:E27),"0.00E+00")</f>
        <v>1.09E-02 ± 1.23E-03</v>
      </c>
      <c r="F28" s="6" t="str">
        <f>TEXT(AVERAGE(F25:F27),"0.00E+00") &amp; " ± " &amp; TEXT(_xlfn.STDEV.S(F25:F27),"0.00E+00")</f>
        <v>5.10E-01 ± 1.09E-01</v>
      </c>
      <c r="G28" s="6"/>
      <c r="H28" s="6" t="str">
        <f>TEXT(AVERAGE(H25:H27),"0.00E+00") &amp; " ± " &amp; TEXT(_xlfn.STDEV.S(H25:H27),"0.00E+00")</f>
        <v>3.09E+00 ± 7.91E-02</v>
      </c>
      <c r="I28" s="6" t="str">
        <f>TEXT(AVERAGE(I25:I27),"0.00E+00") &amp; " ± " &amp; TEXT(_xlfn.STDEV.S(I25:I27),"0.00E+00")</f>
        <v>4.86E-03 ± 5.58E-05</v>
      </c>
      <c r="J28" s="6" t="str">
        <f>TEXT(AVERAGE(J25:J27),"0.00E+00") &amp; " ± " &amp; TEXT(_xlfn.STDEV.S(J25:J27),"0.00E+00")</f>
        <v>0.00E+00 ± 0.00E+00</v>
      </c>
      <c r="K28" s="6"/>
      <c r="L28" s="6" t="str">
        <f>TEXT(AVERAGE(L25:L27),"0.00E+00") &amp; " ± " &amp; TEXT(_xlfn.STDEV.S(L25:L27),"0.00E+00")</f>
        <v>3.97E+02 ± 4.41E+01</v>
      </c>
      <c r="M28" s="5"/>
      <c r="N28" s="6" t="str">
        <f>TEXT(AVERAGE(N25:N27),"0.00E+00") &amp; " ± " &amp; TEXT(_xlfn.STDEV.S(N25:N27),"0.00E+00")</f>
        <v>1.56E+03 ± 4.19E+01</v>
      </c>
      <c r="O28" s="6"/>
      <c r="P28" s="6"/>
      <c r="Q28" s="6"/>
      <c r="R28" s="6"/>
      <c r="S28" s="5"/>
    </row>
    <row r="29" spans="1:19" ht="19" x14ac:dyDescent="0.25">
      <c r="A29" s="1"/>
      <c r="B29" s="1"/>
      <c r="C29" s="1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5"/>
    </row>
    <row r="30" spans="1:19" x14ac:dyDescent="0.2">
      <c r="A30" s="1"/>
      <c r="B30" s="1" t="s">
        <v>17</v>
      </c>
      <c r="C30" s="1"/>
      <c r="D30" s="6" t="s">
        <v>0</v>
      </c>
      <c r="E30" s="6"/>
      <c r="F30" s="6"/>
      <c r="G30" s="6"/>
      <c r="H30" s="6" t="s"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5"/>
    </row>
    <row r="31" spans="1:19" x14ac:dyDescent="0.2">
      <c r="A31" s="1"/>
      <c r="B31" s="1"/>
      <c r="C31" s="1"/>
      <c r="D31" s="6" t="s">
        <v>1</v>
      </c>
      <c r="E31" s="6" t="s">
        <v>2</v>
      </c>
      <c r="F31" s="6" t="s">
        <v>3</v>
      </c>
      <c r="G31" s="6"/>
      <c r="H31" s="6" t="s">
        <v>1</v>
      </c>
      <c r="I31" s="6" t="s">
        <v>2</v>
      </c>
      <c r="J31" s="6" t="s">
        <v>3</v>
      </c>
      <c r="K31" s="6"/>
      <c r="L31" s="6" t="s">
        <v>6</v>
      </c>
      <c r="M31" s="6"/>
      <c r="N31" s="6" t="s">
        <v>5</v>
      </c>
      <c r="O31" s="6"/>
      <c r="P31" s="6"/>
      <c r="Q31" s="6"/>
      <c r="R31" s="6"/>
      <c r="S31" s="5"/>
    </row>
    <row r="32" spans="1:19" ht="19" x14ac:dyDescent="0.25">
      <c r="A32" s="1"/>
      <c r="B32" s="1"/>
      <c r="C32" s="7" t="s">
        <v>9</v>
      </c>
      <c r="D32" s="6">
        <v>0.33229999999999998</v>
      </c>
      <c r="E32" s="6">
        <v>6.3020000000000003E-3</v>
      </c>
      <c r="F32" s="6">
        <v>0.65810000000000002</v>
      </c>
      <c r="G32" s="6"/>
      <c r="H32" s="6">
        <v>2.8347000000000002</v>
      </c>
      <c r="I32" s="6">
        <v>4.1910000000000003E-3</v>
      </c>
      <c r="J32" s="6">
        <v>0</v>
      </c>
      <c r="K32" s="6"/>
      <c r="L32" s="4">
        <v>369</v>
      </c>
      <c r="M32" s="4"/>
      <c r="N32" s="4">
        <v>1699</v>
      </c>
      <c r="O32" s="6"/>
      <c r="P32" s="6"/>
      <c r="Q32" s="6"/>
      <c r="R32" s="6"/>
      <c r="S32" s="5"/>
    </row>
    <row r="33" spans="1:19" ht="19" x14ac:dyDescent="0.25">
      <c r="A33" s="1"/>
      <c r="B33" s="1"/>
      <c r="C33" s="7" t="s">
        <v>7</v>
      </c>
      <c r="D33" s="6">
        <v>0.44700000000000001</v>
      </c>
      <c r="E33" s="6">
        <v>8.0370000000000007E-3</v>
      </c>
      <c r="F33" s="6">
        <v>0.54959999999999998</v>
      </c>
      <c r="G33" s="6"/>
      <c r="H33" s="6">
        <v>2.7547000000000001</v>
      </c>
      <c r="I33" s="6">
        <v>4.2119999999999996E-3</v>
      </c>
      <c r="J33" s="6">
        <v>0</v>
      </c>
      <c r="K33" s="6"/>
      <c r="L33" s="4">
        <v>402</v>
      </c>
      <c r="M33" s="4"/>
      <c r="N33" s="4">
        <v>1746</v>
      </c>
      <c r="O33" s="6"/>
      <c r="P33" s="6"/>
      <c r="Q33" s="6"/>
      <c r="R33" s="6"/>
      <c r="S33" s="5"/>
    </row>
    <row r="34" spans="1:19" ht="19" x14ac:dyDescent="0.25">
      <c r="A34" s="1"/>
      <c r="B34" s="1"/>
      <c r="C34" s="7" t="s">
        <v>8</v>
      </c>
      <c r="D34" s="6">
        <v>0.45050000000000001</v>
      </c>
      <c r="E34" s="6">
        <v>9.5119999999999996E-3</v>
      </c>
      <c r="F34" s="6">
        <v>0.52649999999999997</v>
      </c>
      <c r="G34" s="6"/>
      <c r="H34" s="6">
        <v>2.6818</v>
      </c>
      <c r="I34" s="6">
        <v>4.3E-3</v>
      </c>
      <c r="J34" s="6">
        <v>0</v>
      </c>
      <c r="K34" s="6"/>
      <c r="L34" s="4">
        <v>401</v>
      </c>
      <c r="M34" s="4"/>
      <c r="N34" s="4">
        <v>1731</v>
      </c>
      <c r="O34" s="6"/>
      <c r="P34" s="6"/>
      <c r="Q34" s="6"/>
      <c r="R34" s="6"/>
      <c r="S34" s="5"/>
    </row>
    <row r="35" spans="1:19" x14ac:dyDescent="0.2">
      <c r="D35" s="6" t="str">
        <f>TEXT(AVERAGE(D32:D34),"0.00E+00") &amp; " ± " &amp; TEXT(_xlfn.STDEV.S(D32:D34),"0.00E+00")</f>
        <v>4.10E-01 ± 6.73E-02</v>
      </c>
      <c r="E35" s="6" t="str">
        <f>TEXT(AVERAGE(E32:E34),"0.00E+00") &amp; " ± " &amp; TEXT(_xlfn.STDEV.S(E32:E34),"0.00E+00")</f>
        <v>7.95E-03 ± 1.61E-03</v>
      </c>
      <c r="F35" s="6" t="str">
        <f>TEXT(AVERAGE(F32:F34),"0.00E+00") &amp; " ± " &amp; TEXT(_xlfn.STDEV.S(F32:F34),"0.00E+00")</f>
        <v>5.78E-01 ± 7.03E-02</v>
      </c>
      <c r="G35" s="6"/>
      <c r="H35" s="6" t="str">
        <f>TEXT(AVERAGE(H32:H34),"0.00E+00") &amp; " ± " &amp; TEXT(_xlfn.STDEV.S(H32:H34),"0.00E+00")</f>
        <v>2.76E+00 ± 7.65E-02</v>
      </c>
      <c r="I35" s="6" t="str">
        <f>TEXT(AVERAGE(I32:I34),"0.00E+00") &amp; " ± " &amp; TEXT(_xlfn.STDEV.S(I32:I34),"0.00E+00")</f>
        <v>4.23E-03 ± 5.78E-05</v>
      </c>
      <c r="J35" s="6" t="str">
        <f>TEXT(AVERAGE(J32:J34),"0.00E+00") &amp; " ± " &amp; TEXT(_xlfn.STDEV.S(J32:J34),"0.00E+00")</f>
        <v>0.00E+00 ± 0.00E+00</v>
      </c>
      <c r="K35" s="5"/>
      <c r="L35" s="6" t="str">
        <f>TEXT(AVERAGE(L32:L34),"0.00E+00") &amp; " ± " &amp; TEXT(_xlfn.STDEV.S(L32:L34),"0.00E+00")</f>
        <v>3.91E+02 ± 1.88E+01</v>
      </c>
      <c r="M35" s="6"/>
      <c r="N35" s="6" t="str">
        <f>TEXT(AVERAGE(N32:N34),"0.00E+00") &amp; " ± " &amp; TEXT(_xlfn.STDEV.S(N32:N34),"0.00E+00")</f>
        <v>1.73E+03 ± 2.40E+01</v>
      </c>
      <c r="O35" s="5"/>
      <c r="P35" s="5"/>
      <c r="Q35" s="5"/>
      <c r="R35" s="5"/>
      <c r="S35" s="5"/>
    </row>
    <row r="36" spans="1:19" x14ac:dyDescent="0.2"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2">
      <c r="B37" s="1" t="s">
        <v>16</v>
      </c>
      <c r="C37" s="1"/>
      <c r="D37" s="6" t="s">
        <v>0</v>
      </c>
      <c r="E37" s="6"/>
      <c r="F37" s="6"/>
      <c r="G37" s="6"/>
      <c r="H37" s="6" t="s">
        <v>4</v>
      </c>
      <c r="I37" s="6"/>
      <c r="J37" s="6"/>
      <c r="K37" s="5"/>
      <c r="L37" s="5"/>
      <c r="M37" s="5"/>
      <c r="N37" s="5"/>
      <c r="O37" s="5"/>
      <c r="P37" s="5"/>
      <c r="Q37" s="5"/>
      <c r="R37" s="5"/>
      <c r="S37" s="5"/>
    </row>
    <row r="38" spans="1:19" ht="19" x14ac:dyDescent="0.25">
      <c r="B38" s="1"/>
      <c r="C38" s="7"/>
      <c r="D38" s="6" t="s">
        <v>1</v>
      </c>
      <c r="E38" s="6" t="s">
        <v>2</v>
      </c>
      <c r="F38" s="6" t="s">
        <v>3</v>
      </c>
      <c r="G38" s="6"/>
      <c r="H38" s="6" t="s">
        <v>1</v>
      </c>
      <c r="I38" s="6" t="s">
        <v>2</v>
      </c>
      <c r="J38" s="6" t="s">
        <v>3</v>
      </c>
      <c r="K38" s="5"/>
      <c r="L38" s="6" t="s">
        <v>6</v>
      </c>
      <c r="M38" s="6"/>
      <c r="N38" s="6" t="s">
        <v>5</v>
      </c>
      <c r="O38" s="5"/>
      <c r="P38" s="5"/>
      <c r="Q38" s="5"/>
      <c r="R38" s="5"/>
      <c r="S38" s="5"/>
    </row>
    <row r="39" spans="1:19" ht="19" x14ac:dyDescent="0.25">
      <c r="B39" s="1"/>
      <c r="C39" s="7" t="s">
        <v>10</v>
      </c>
      <c r="D39" s="6">
        <v>0.50990000000000002</v>
      </c>
      <c r="E39" s="6">
        <v>2.3223000000000001E-2</v>
      </c>
      <c r="F39" s="6">
        <v>0.54659999999999997</v>
      </c>
      <c r="G39" s="6"/>
      <c r="H39" s="6">
        <v>4.8521999999999998</v>
      </c>
      <c r="I39" s="6">
        <v>4.875E-3</v>
      </c>
      <c r="J39" s="6">
        <v>0</v>
      </c>
      <c r="K39" s="5"/>
      <c r="L39" s="4">
        <v>476</v>
      </c>
      <c r="M39" s="4"/>
      <c r="N39" s="4">
        <v>1622</v>
      </c>
      <c r="O39" s="5"/>
      <c r="P39" s="5"/>
      <c r="Q39" s="5"/>
      <c r="R39" s="5"/>
      <c r="S39" s="5"/>
    </row>
    <row r="40" spans="1:19" ht="19" x14ac:dyDescent="0.25">
      <c r="C40" s="7" t="s">
        <v>11</v>
      </c>
      <c r="D40" s="5">
        <v>0.61240000000000006</v>
      </c>
      <c r="E40" s="4">
        <v>1.0839E-2</v>
      </c>
      <c r="F40" s="4">
        <v>0.39750000000000002</v>
      </c>
      <c r="G40" s="5"/>
      <c r="H40" s="4">
        <v>3.2847</v>
      </c>
      <c r="I40" s="4">
        <v>4.7479999999999996E-3</v>
      </c>
      <c r="J40" s="5">
        <v>0</v>
      </c>
      <c r="K40" s="5"/>
      <c r="L40" s="4">
        <v>466</v>
      </c>
      <c r="M40" s="4"/>
      <c r="N40" s="4">
        <v>1669</v>
      </c>
      <c r="O40" s="5"/>
      <c r="P40" s="5"/>
      <c r="Q40" s="5"/>
      <c r="R40" s="5"/>
      <c r="S40" s="5"/>
    </row>
    <row r="41" spans="1:19" ht="19" x14ac:dyDescent="0.25">
      <c r="C41" s="7" t="s">
        <v>12</v>
      </c>
      <c r="D41" s="5">
        <v>0.39340000000000003</v>
      </c>
      <c r="E41" s="5">
        <v>1.1217E-2</v>
      </c>
      <c r="F41" s="5">
        <v>0.59440000000000004</v>
      </c>
      <c r="G41" s="5"/>
      <c r="H41" s="5">
        <v>3.1374</v>
      </c>
      <c r="I41" s="5">
        <v>4.6410000000000002E-3</v>
      </c>
      <c r="J41" s="5">
        <v>0</v>
      </c>
      <c r="K41" s="5"/>
      <c r="L41" s="4">
        <v>385</v>
      </c>
      <c r="M41" s="4"/>
      <c r="N41" s="4">
        <v>1602</v>
      </c>
      <c r="O41" s="5"/>
      <c r="P41" s="5"/>
      <c r="Q41" s="5"/>
      <c r="R41" s="5"/>
      <c r="S41" s="5"/>
    </row>
    <row r="42" spans="1:19" x14ac:dyDescent="0.2">
      <c r="D42" s="6" t="str">
        <f>TEXT(AVERAGE(D39:D41),"0.00E+00") &amp; " ± " &amp; TEXT(_xlfn.STDEV.S(D39:D41),"0.00E+00")</f>
        <v>5.05E-01 ± 1.10E-01</v>
      </c>
      <c r="E42" s="6" t="str">
        <f>TEXT(AVERAGE(E39:E41),"0.00E+00") &amp; " ± " &amp; TEXT(_xlfn.STDEV.S(E39:E41),"0.00E+00")</f>
        <v>1.51E-02 ± 7.04E-03</v>
      </c>
      <c r="F42" s="6" t="str">
        <f>TEXT(AVERAGE(F39:F41),"0.00E+00") &amp; " ± " &amp; TEXT(_xlfn.STDEV.S(F39:F41),"0.00E+00")</f>
        <v>5.13E-01 ± 1.03E-01</v>
      </c>
      <c r="G42" s="6"/>
      <c r="H42" s="6" t="str">
        <f>TEXT(AVERAGE(H39:H41),"0.00E+00") &amp; " ± " &amp; TEXT(_xlfn.STDEV.S(H39:H41),"0.00E+00")</f>
        <v>3.76E+00 ± 9.50E-01</v>
      </c>
      <c r="I42" s="6" t="str">
        <f>TEXT(AVERAGE(I39:I41),"0.00E+00") &amp; " ± " &amp; TEXT(_xlfn.STDEV.S(I39:I41),"0.00E+00")</f>
        <v>4.75E-03 ± 1.17E-04</v>
      </c>
      <c r="J42" s="6" t="str">
        <f>TEXT(AVERAGE(J39:J41),"0.00E+00") &amp; " ± " &amp; TEXT(_xlfn.STDEV.S(J39:J41),"0.00E+00")</f>
        <v>0.00E+00 ± 0.00E+00</v>
      </c>
      <c r="K42" s="5"/>
      <c r="L42" s="6" t="str">
        <f>TEXT(AVERAGE(L39:L41),"0.00E+00") &amp; " ± " &amp; TEXT(_xlfn.STDEV.S(L39:L41),"0.00E+00")</f>
        <v>4.42E+02 ± 4.99E+01</v>
      </c>
      <c r="M42" s="6"/>
      <c r="N42" s="6" t="str">
        <f>TEXT(AVERAGE(N39:N41),"0.00E+00") &amp; " ± " &amp; TEXT(_xlfn.STDEV.S(N39:N41),"0.00E+00")</f>
        <v>1.63E+03 ± 3.44E+01</v>
      </c>
      <c r="O42" s="5"/>
      <c r="P42" s="5"/>
      <c r="Q42" s="5"/>
      <c r="R42" s="5"/>
      <c r="S42" s="5"/>
    </row>
    <row r="43" spans="1:19" ht="19" x14ac:dyDescent="0.25">
      <c r="B43" s="2"/>
      <c r="C43" s="2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">
      <c r="B44" s="1" t="s">
        <v>14</v>
      </c>
      <c r="C44" s="1"/>
      <c r="D44" s="6" t="s">
        <v>0</v>
      </c>
      <c r="E44" s="6"/>
      <c r="F44" s="6"/>
      <c r="G44" s="6"/>
      <c r="H44" s="6" t="s">
        <v>4</v>
      </c>
      <c r="I44" s="6"/>
      <c r="J44" s="6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">
      <c r="B45" s="1"/>
      <c r="C45" s="1"/>
      <c r="D45" s="6" t="s">
        <v>1</v>
      </c>
      <c r="E45" s="6" t="s">
        <v>2</v>
      </c>
      <c r="F45" s="6" t="s">
        <v>3</v>
      </c>
      <c r="G45" s="6"/>
      <c r="H45" s="6" t="s">
        <v>1</v>
      </c>
      <c r="I45" s="6" t="s">
        <v>2</v>
      </c>
      <c r="J45" s="6" t="s">
        <v>3</v>
      </c>
      <c r="K45" s="5"/>
      <c r="L45" s="6" t="s">
        <v>6</v>
      </c>
      <c r="M45" s="6"/>
      <c r="N45" s="6" t="s">
        <v>5</v>
      </c>
      <c r="O45" s="5"/>
      <c r="P45" s="5"/>
      <c r="Q45" s="5"/>
      <c r="R45" s="5"/>
      <c r="S45" s="5"/>
    </row>
    <row r="46" spans="1:19" ht="19" x14ac:dyDescent="0.25">
      <c r="B46" s="1"/>
      <c r="C46" s="7" t="s">
        <v>22</v>
      </c>
      <c r="D46" s="6">
        <v>0.60580000000000001</v>
      </c>
      <c r="E46" s="6">
        <v>1.3428000000000001E-2</v>
      </c>
      <c r="F46" s="4">
        <v>0.4148</v>
      </c>
      <c r="G46" s="6"/>
      <c r="H46" s="4">
        <v>4.0707000000000004</v>
      </c>
      <c r="I46" s="4">
        <v>6.3480000000000003E-3</v>
      </c>
      <c r="J46" s="4">
        <v>0</v>
      </c>
      <c r="K46" s="5"/>
      <c r="L46" s="4">
        <v>381</v>
      </c>
      <c r="M46" s="4"/>
      <c r="N46" s="4">
        <v>1270</v>
      </c>
      <c r="O46" s="5"/>
      <c r="P46" s="5"/>
      <c r="Q46" s="5"/>
      <c r="R46" s="5"/>
      <c r="S46" s="5"/>
    </row>
    <row r="47" spans="1:19" ht="19" x14ac:dyDescent="0.25">
      <c r="B47" s="1"/>
      <c r="C47" s="7" t="s">
        <v>21</v>
      </c>
      <c r="D47" s="4">
        <v>0.64529999999999998</v>
      </c>
      <c r="E47" s="4">
        <v>1.2869E-2</v>
      </c>
      <c r="F47" s="4">
        <v>0.36270000000000002</v>
      </c>
      <c r="G47" s="6"/>
      <c r="H47" s="4">
        <v>3.6591999999999998</v>
      </c>
      <c r="I47" s="4">
        <v>6.1760000000000001E-3</v>
      </c>
      <c r="J47" s="4">
        <v>0</v>
      </c>
      <c r="K47" s="5"/>
      <c r="L47" s="4">
        <v>395</v>
      </c>
      <c r="M47" s="4"/>
      <c r="N47" s="4">
        <v>1310</v>
      </c>
      <c r="O47" s="5"/>
      <c r="P47" s="5"/>
      <c r="Q47" s="5"/>
      <c r="R47" s="5"/>
      <c r="S47" s="5"/>
    </row>
    <row r="48" spans="1:19" ht="19" x14ac:dyDescent="0.25">
      <c r="B48" s="1"/>
      <c r="C48" s="7" t="s">
        <v>23</v>
      </c>
      <c r="D48" s="4">
        <v>0.59199999999999997</v>
      </c>
      <c r="E48" s="4">
        <v>1.3556E-2</v>
      </c>
      <c r="F48" s="6">
        <v>0.42459999999999998</v>
      </c>
      <c r="G48" s="6"/>
      <c r="H48" s="4">
        <v>3.7330999999999999</v>
      </c>
      <c r="I48" s="6">
        <v>6.3200000000000001E-3</v>
      </c>
      <c r="J48" s="4">
        <v>0</v>
      </c>
      <c r="K48" s="5"/>
      <c r="L48" s="4">
        <v>365</v>
      </c>
      <c r="M48" s="4"/>
      <c r="N48" s="4">
        <v>1275</v>
      </c>
      <c r="O48" s="5"/>
      <c r="P48" s="5"/>
      <c r="Q48" s="5"/>
      <c r="R48" s="5"/>
      <c r="S48" s="5"/>
    </row>
    <row r="49" spans="2:19" x14ac:dyDescent="0.2">
      <c r="B49" s="1"/>
      <c r="C49" s="1"/>
      <c r="D49" s="6" t="str">
        <f>TEXT(AVERAGE(D46:D48),"0.00E+00") &amp; " ± " &amp; TEXT(_xlfn.STDEV.S(D46:D48),"0.00E+00")</f>
        <v>6.14E-01 ± 2.77E-02</v>
      </c>
      <c r="E49" s="6" t="str">
        <f>TEXT(AVERAGE(E46:E48),"0.00E+00") &amp; " ± " &amp; TEXT(_xlfn.STDEV.S(E46:E48),"0.00E+00")</f>
        <v>1.33E-02 ± 3.65E-04</v>
      </c>
      <c r="F49" s="6" t="str">
        <f>TEXT(AVERAGE(F46:F48),"0.00E+00") &amp; " ± " &amp; TEXT(_xlfn.STDEV.S(F46:F48),"0.00E+00")</f>
        <v>4.01E-01 ± 3.33E-02</v>
      </c>
      <c r="G49" s="6"/>
      <c r="H49" s="6" t="str">
        <f>TEXT(AVERAGE(H46:H48),"0.00E+00") &amp; " ± " &amp; TEXT(_xlfn.STDEV.S(H46:H48),"0.00E+00")</f>
        <v>3.82E+00 ± 2.19E-01</v>
      </c>
      <c r="I49" s="6" t="str">
        <f>TEXT(AVERAGE(I46:I48),"0.00E+00") &amp; " ± " &amp; TEXT(_xlfn.STDEV.S(I46:I48),"0.00E+00")</f>
        <v>6.28E-03 ± 9.23E-05</v>
      </c>
      <c r="J49" s="6" t="str">
        <f>TEXT(AVERAGE(J46:J48),"0.00E+00") &amp; " ± " &amp; TEXT(_xlfn.STDEV.S(J46:J48),"0.00E+00")</f>
        <v>0.00E+00 ± 0.00E+00</v>
      </c>
      <c r="K49" s="5"/>
      <c r="L49" s="6" t="str">
        <f>TEXT(AVERAGE(L46:L48),"0.00E+00") &amp; " ± " &amp; TEXT(_xlfn.STDEV.S(L46:L48),"0.00E+00")</f>
        <v>3.80E+02 ± 1.50E+01</v>
      </c>
      <c r="M49" s="6"/>
      <c r="N49" s="6" t="str">
        <f>TEXT(AVERAGE(N46:N48),"0.00E+00") &amp; " ± " &amp; TEXT(_xlfn.STDEV.S(N46:N48),"0.00E+00")</f>
        <v>1.29E+03 ± 2.18E+01</v>
      </c>
      <c r="O49" s="5"/>
      <c r="P49" s="5"/>
      <c r="Q49" s="5"/>
      <c r="R49" s="5"/>
      <c r="S49" s="5"/>
    </row>
    <row r="50" spans="2:19" ht="19" x14ac:dyDescent="0.25">
      <c r="B50" s="1"/>
      <c r="C50" s="1"/>
      <c r="D50" s="4"/>
      <c r="E50" s="6"/>
      <c r="F50" s="6"/>
      <c r="G50" s="6"/>
      <c r="H50" s="6"/>
      <c r="I50" s="6"/>
      <c r="J50" s="6"/>
      <c r="K50" s="5"/>
      <c r="L50" s="5"/>
      <c r="M50" s="5"/>
      <c r="N50" s="5"/>
      <c r="O50" s="5"/>
      <c r="P50" s="5"/>
      <c r="Q50" s="5"/>
      <c r="R50" s="5"/>
      <c r="S50" s="5"/>
    </row>
    <row r="51" spans="2:19" x14ac:dyDescent="0.2">
      <c r="B51" s="1" t="s">
        <v>15</v>
      </c>
      <c r="C51" s="1"/>
      <c r="D51" s="6" t="s">
        <v>0</v>
      </c>
      <c r="E51" s="6"/>
      <c r="F51" s="6"/>
      <c r="G51" s="6"/>
      <c r="H51" s="6" t="s">
        <v>4</v>
      </c>
      <c r="I51" s="6"/>
      <c r="J51" s="6"/>
      <c r="K51" s="5"/>
      <c r="L51" s="5"/>
      <c r="M51" s="5"/>
      <c r="N51" s="5"/>
      <c r="O51" s="5"/>
      <c r="P51" s="5"/>
      <c r="Q51" s="5"/>
      <c r="R51" s="5"/>
      <c r="S51" s="5"/>
    </row>
    <row r="52" spans="2:19" x14ac:dyDescent="0.2">
      <c r="B52" s="1"/>
      <c r="C52" s="1"/>
      <c r="D52" s="6" t="s">
        <v>1</v>
      </c>
      <c r="E52" s="6" t="s">
        <v>2</v>
      </c>
      <c r="F52" s="6" t="s">
        <v>3</v>
      </c>
      <c r="G52" s="6"/>
      <c r="H52" s="6" t="s">
        <v>1</v>
      </c>
      <c r="I52" s="6" t="s">
        <v>2</v>
      </c>
      <c r="J52" s="6" t="s">
        <v>3</v>
      </c>
      <c r="K52" s="5"/>
      <c r="L52" s="6" t="s">
        <v>6</v>
      </c>
      <c r="M52" s="6"/>
      <c r="N52" s="6" t="s">
        <v>5</v>
      </c>
      <c r="O52" s="5"/>
      <c r="P52" s="5"/>
      <c r="Q52" s="5"/>
      <c r="R52" s="5"/>
      <c r="S52" s="5"/>
    </row>
    <row r="53" spans="2:19" ht="19" x14ac:dyDescent="0.25">
      <c r="B53" s="1"/>
      <c r="C53" s="7" t="s">
        <v>25</v>
      </c>
      <c r="D53" s="4">
        <v>0.35899999999999999</v>
      </c>
      <c r="E53" s="4">
        <v>3.7489000000000001E-2</v>
      </c>
      <c r="F53" s="4">
        <v>0.55569999999999997</v>
      </c>
      <c r="G53" s="6"/>
      <c r="H53" s="4">
        <v>2.1486999999999998</v>
      </c>
      <c r="I53" s="4">
        <v>5.9870000000000001E-3</v>
      </c>
      <c r="J53" s="4">
        <v>0</v>
      </c>
      <c r="K53" s="5"/>
      <c r="L53" s="4">
        <v>251</v>
      </c>
      <c r="M53" s="4"/>
      <c r="N53" s="4">
        <v>1180</v>
      </c>
      <c r="O53" s="5"/>
      <c r="P53" s="5"/>
      <c r="Q53" s="5"/>
      <c r="R53" s="5"/>
      <c r="S53" s="5"/>
    </row>
    <row r="54" spans="2:19" ht="19" x14ac:dyDescent="0.25">
      <c r="B54" s="1"/>
      <c r="C54" s="7" t="s">
        <v>26</v>
      </c>
      <c r="D54" s="4">
        <v>0.36909999999999998</v>
      </c>
      <c r="E54" s="4">
        <v>1.3592E-2</v>
      </c>
      <c r="F54" s="4">
        <v>0.5857</v>
      </c>
      <c r="G54" s="6"/>
      <c r="H54" s="4">
        <v>3.1334</v>
      </c>
      <c r="I54" s="4">
        <v>6.156E-3</v>
      </c>
      <c r="J54" s="4">
        <v>0</v>
      </c>
      <c r="K54" s="5"/>
      <c r="L54" s="4">
        <v>298</v>
      </c>
      <c r="M54" s="4"/>
      <c r="N54" s="4">
        <v>1212</v>
      </c>
      <c r="O54" s="5"/>
      <c r="P54" s="5"/>
      <c r="Q54" s="5"/>
      <c r="R54" s="5"/>
      <c r="S54" s="5"/>
    </row>
    <row r="55" spans="2:19" ht="19" x14ac:dyDescent="0.25">
      <c r="B55" s="1"/>
      <c r="C55" s="7" t="s">
        <v>24</v>
      </c>
      <c r="D55" s="4">
        <v>0.25430000000000003</v>
      </c>
      <c r="E55" s="4">
        <v>1.0290000000000001E-2</v>
      </c>
      <c r="F55" s="4">
        <v>0.67259999999999998</v>
      </c>
      <c r="G55" s="6"/>
      <c r="H55" s="4">
        <v>2.3660999999999999</v>
      </c>
      <c r="I55" s="4">
        <v>6.0239999999999998E-3</v>
      </c>
      <c r="J55" s="6">
        <v>0</v>
      </c>
      <c r="K55" s="5"/>
      <c r="L55" s="4">
        <v>242</v>
      </c>
      <c r="M55" s="4"/>
      <c r="N55" s="4">
        <v>1149</v>
      </c>
      <c r="O55" s="5"/>
    </row>
    <row r="56" spans="2:19" x14ac:dyDescent="0.2">
      <c r="B56" s="1"/>
      <c r="C56" s="1"/>
      <c r="D56" s="6" t="str">
        <f>TEXT(AVERAGE(D53:D55),"0.00E+00") &amp; " ± " &amp; TEXT(_xlfn.STDEV.S(D53:D55),"0.00E+00")</f>
        <v>3.27E-01 ± 6.36E-02</v>
      </c>
      <c r="E56" s="6" t="str">
        <f>TEXT(AVERAGE(E53:E55),"0.00E+00") &amp; " ± " &amp; TEXT(_xlfn.STDEV.S(E53:E55),"0.00E+00")</f>
        <v>2.05E-02 ± 1.48E-02</v>
      </c>
      <c r="F56" s="6" t="str">
        <f>TEXT(AVERAGE(F53:F55),"0.00E+00") &amp; " ± " &amp; TEXT(_xlfn.STDEV.S(F53:F55),"0.00E+00")</f>
        <v>6.05E-01 ± 6.07E-02</v>
      </c>
      <c r="G56" s="6"/>
      <c r="H56" s="6" t="str">
        <f>TEXT(AVERAGE(H53:H55),"0.00E+00") &amp; " ± " &amp; TEXT(_xlfn.STDEV.S(H53:H55),"0.00E+00")</f>
        <v>2.55E+00 ± 5.17E-01</v>
      </c>
      <c r="I56" s="6" t="str">
        <f>TEXT(AVERAGE(I53:I55),"0.00E+00") &amp; " ± " &amp; TEXT(_xlfn.STDEV.S(I53:I55),"0.00E+00")</f>
        <v>6.06E-03 ± 8.88E-05</v>
      </c>
      <c r="J56" s="6">
        <f>M59</f>
        <v>0</v>
      </c>
      <c r="K56" s="5"/>
      <c r="L56" s="6" t="str">
        <f>TEXT(AVERAGE(L53:L55),"0.00E+00") &amp; " ± " &amp; TEXT(_xlfn.STDEV.S(L53:L55),"0.00E+00")</f>
        <v>2.64E+02 ± 3.01E+01</v>
      </c>
      <c r="M56" s="6"/>
      <c r="N56" s="6" t="str">
        <f>TEXT(AVERAGE(N53:N55),"0.00E+00") &amp; " ± " &amp; TEXT(_xlfn.STDEV.S(N53:N55),"0.00E+00")</f>
        <v>1.18E+03 ± 3.15E+01</v>
      </c>
      <c r="O56" s="5"/>
    </row>
    <row r="57" spans="2:19" x14ac:dyDescent="0.2"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2:19" x14ac:dyDescent="0.2"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2:19" x14ac:dyDescent="0.2"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2:19" x14ac:dyDescent="0.2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2:19" x14ac:dyDescent="0.2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Ashley Hunter</dc:creator>
  <cp:lastModifiedBy>Kaitlyn Ashley Hunter</cp:lastModifiedBy>
  <dcterms:created xsi:type="dcterms:W3CDTF">2025-09-14T20:24:01Z</dcterms:created>
  <dcterms:modified xsi:type="dcterms:W3CDTF">2025-12-08T22:43:12Z</dcterms:modified>
</cp:coreProperties>
</file>